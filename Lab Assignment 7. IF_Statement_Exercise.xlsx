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d0cea48f8d5480/Documents/Documents/Anudip Faundation Labs/"/>
    </mc:Choice>
  </mc:AlternateContent>
  <xr:revisionPtr revIDLastSave="0" documentId="8_{F1DA30D5-942F-4692-A69B-51AF1EB71C53}" xr6:coauthVersionLast="47" xr6:coauthVersionMax="47" xr10:uidLastSave="{00000000-0000-0000-0000-000000000000}"/>
  <bookViews>
    <workbookView xWindow="13650" yWindow="1185" windowWidth="15225" windowHeight="11295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6" i="1"/>
  <c r="M5" i="1"/>
  <c r="M3" i="1"/>
  <c r="M4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4" i="1"/>
  <c r="H5" i="1"/>
  <c r="H6" i="1"/>
  <c r="H7" i="1"/>
  <c r="H3" i="1"/>
  <c r="H2" i="1"/>
  <c r="G5" i="1"/>
  <c r="G3" i="1"/>
  <c r="G4" i="1"/>
  <c r="G6" i="1"/>
  <c r="G7" i="1"/>
  <c r="G2" i="1"/>
  <c r="F7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<sst xmlns="http://schemas.openxmlformats.org/spreadsheetml/2006/main" count="33" uniqueCount="31">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</sst>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</cellXfs>
  <cellStyles count="2">
    <cellStyle name="20% - Accent6" xfId="1" builtinId="5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73" workbookViewId="0">
      <selection activeCell="H25" sqref="H25"/>
    </sheetView>
  </sheetViews>
  <sheetFormatPr defaultRowHeight="15" x14ac:dyDescent="0.25"/>
  <cols>
    <col min="1" max="1" width="13.140625" customWidth="1"/>
    <col min="2" max="2" width="13.85546875" customWidth="1"/>
    <col min="3" max="3" width="10.140625" customWidth="1"/>
    <col min="4" max="4" width="11" customWidth="1"/>
    <col min="5" max="5" width="13" customWidth="1"/>
    <col min="6" max="6" width="16.42578125" customWidth="1"/>
    <col min="7" max="7" width="27.42578125" customWidth="1"/>
    <col min="8" max="8" width="22.42578125" customWidth="1"/>
    <col min="9" max="9" width="19.28515625" customWidth="1"/>
    <col min="10" max="10" width="24.5703125" customWidth="1"/>
    <col min="11" max="11" width="15.28515625" customWidth="1"/>
    <col min="12" max="12" width="17.5703125" customWidth="1"/>
    <col min="13" max="13" width="19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>
        <v>101</v>
      </c>
      <c r="B2" s="1" t="s">
        <v>13</v>
      </c>
      <c r="C2" s="1">
        <v>120</v>
      </c>
      <c r="D2" s="1">
        <v>150</v>
      </c>
      <c r="E2" s="1" t="s">
        <v>14</v>
      </c>
      <c r="F2" s="1" t="str">
        <f>IF(C2&gt;=D2,"YES","NO")</f>
        <v>NO</v>
      </c>
      <c r="G2" s="1" t="str">
        <f>IF(AND(E2="North",C2&gt;200),"ELIGIBLE","NOT ELIGIBLE")</f>
        <v>NOT ELIGIBLE</v>
      </c>
      <c r="H2" s="1">
        <f>IF(C2&gt;=200,10%,IF(C2&gt;=150,7%,5%))</f>
        <v>0.05</v>
      </c>
      <c r="I2" s="1">
        <f>IF(C2&gt;=D2,C2*10%, C2*5%)</f>
        <v>6</v>
      </c>
      <c r="J2" s="1" t="str">
        <f>IF(C2&gt;=200,"Excellent",IF(C2&gt;=150,"Good","Need Improvement"))</f>
        <v>Need Improvement</v>
      </c>
      <c r="K2" s="1" t="str">
        <f>IF(C2&gt;200,"HIGH",IF(C2&gt;=100,"MEDIUM","LOW"))</f>
        <v>MEDIUM</v>
      </c>
      <c r="L2" s="1" t="str">
        <f>IF(AND(C2&gt;=150,E2="North"), "$500", "$300")</f>
        <v>$300</v>
      </c>
      <c r="M2" s="1" t="str">
        <f>IF(C2&gt;=PERCENTILE(C2:C7,0.75),"YES","NO")</f>
        <v>NO</v>
      </c>
    </row>
    <row r="3" spans="1:13" x14ac:dyDescent="0.25">
      <c r="A3" s="1">
        <v>102</v>
      </c>
      <c r="B3" s="1" t="s">
        <v>15</v>
      </c>
      <c r="C3" s="1">
        <v>150</v>
      </c>
      <c r="D3" s="1">
        <v>140</v>
      </c>
      <c r="E3" s="1" t="s">
        <v>16</v>
      </c>
      <c r="F3" s="1" t="str">
        <f t="shared" ref="F3:F7" si="0">IF(C3&gt;=D3,"YES","NO")</f>
        <v>YES</v>
      </c>
      <c r="G3" s="1" t="str">
        <f t="shared" ref="G3:G7" si="1">IF(AND(E3="North",C3&gt;200),"ELIGIBLE","NOT ELIGIBLE")</f>
        <v>NOT ELIGIBLE</v>
      </c>
      <c r="H3" s="1">
        <f>IF(C3&gt;=200,0.1,IF(C3&gt;=150,0.07,0.05))</f>
        <v>7.0000000000000007E-2</v>
      </c>
      <c r="I3" s="1">
        <f t="shared" ref="I3:I7" si="2">IF(C3&gt;=D3,C3*10%, C3*5%)</f>
        <v>15</v>
      </c>
      <c r="J3" s="1" t="str">
        <f t="shared" ref="J3:J7" si="3">IF(C3&gt;=200,"Excellent",IF(C3&gt;=150,"Good","Need Improvement"))</f>
        <v>Good</v>
      </c>
      <c r="K3" s="1" t="str">
        <f t="shared" ref="K3:K7" si="4">IF(C3&gt;200,"HIGH",IF(C3&gt;=100,"MEDIUM","LOW"))</f>
        <v>MEDIUM</v>
      </c>
      <c r="L3" s="1" t="str">
        <f t="shared" ref="L3:L7" si="5">IF(AND(C3&gt;=150,E3="North"), "$500", "$300")</f>
        <v>$300</v>
      </c>
      <c r="M3" s="1" t="str">
        <f>IF(C3&gt;=PERCENTILE(C2:C7,0.75),"YES","NO")</f>
        <v>NO</v>
      </c>
    </row>
    <row r="4" spans="1:13" x14ac:dyDescent="0.25">
      <c r="A4" s="1">
        <v>103</v>
      </c>
      <c r="B4" s="1" t="s">
        <v>17</v>
      </c>
      <c r="C4" s="1">
        <v>200</v>
      </c>
      <c r="D4" s="1">
        <v>200</v>
      </c>
      <c r="E4" s="1" t="s">
        <v>18</v>
      </c>
      <c r="F4" s="1" t="str">
        <f t="shared" si="0"/>
        <v>YES</v>
      </c>
      <c r="G4" s="1" t="str">
        <f t="shared" si="1"/>
        <v>NOT ELIGIBLE</v>
      </c>
      <c r="H4" s="1">
        <f t="shared" ref="H4:H7" si="6">IF(C4&gt;=200,0.1,IF(C4&gt;=150,0.07,0.05))</f>
        <v>0.1</v>
      </c>
      <c r="I4" s="1">
        <f t="shared" si="2"/>
        <v>20</v>
      </c>
      <c r="J4" s="1" t="str">
        <f t="shared" si="3"/>
        <v>Excellent</v>
      </c>
      <c r="K4" s="1" t="str">
        <f t="shared" si="4"/>
        <v>MEDIUM</v>
      </c>
      <c r="L4" s="1" t="str">
        <f t="shared" si="5"/>
        <v>$300</v>
      </c>
      <c r="M4" s="1" t="str">
        <f>IF(C4&gt;=PERCENTILE(C2:C7,0.75),"YES","NO")</f>
        <v>YES</v>
      </c>
    </row>
    <row r="5" spans="1:13" x14ac:dyDescent="0.25">
      <c r="A5" s="1">
        <v>104</v>
      </c>
      <c r="B5" s="1" t="s">
        <v>19</v>
      </c>
      <c r="C5" s="1">
        <v>90</v>
      </c>
      <c r="D5" s="1">
        <v>100</v>
      </c>
      <c r="E5" s="1" t="s">
        <v>20</v>
      </c>
      <c r="F5" s="1" t="str">
        <f t="shared" si="0"/>
        <v>NO</v>
      </c>
      <c r="G5" s="1" t="str">
        <f>IF(AND(E5="North",C5&gt;200),"ELIGIBLE","NOT ELIGIBLE")</f>
        <v>NOT ELIGIBLE</v>
      </c>
      <c r="H5" s="1">
        <f t="shared" si="6"/>
        <v>0.05</v>
      </c>
      <c r="I5" s="1">
        <f t="shared" si="2"/>
        <v>4.5</v>
      </c>
      <c r="J5" s="1" t="str">
        <f t="shared" si="3"/>
        <v>Need Improvement</v>
      </c>
      <c r="K5" s="1" t="str">
        <f t="shared" si="4"/>
        <v>LOW</v>
      </c>
      <c r="L5" s="1" t="str">
        <f t="shared" si="5"/>
        <v>$300</v>
      </c>
      <c r="M5" s="1" t="str">
        <f>IF(C5&gt;=PERCENTILE(C2:C7,0.75),"YES","NO")</f>
        <v>NO</v>
      </c>
    </row>
    <row r="6" spans="1:13" x14ac:dyDescent="0.25">
      <c r="A6" s="1">
        <v>105</v>
      </c>
      <c r="B6" s="1" t="s">
        <v>21</v>
      </c>
      <c r="C6" s="1">
        <v>220</v>
      </c>
      <c r="D6" s="1">
        <v>210</v>
      </c>
      <c r="E6" s="1" t="s">
        <v>14</v>
      </c>
      <c r="F6" s="1" t="str">
        <f t="shared" si="0"/>
        <v>YES</v>
      </c>
      <c r="G6" s="1" t="str">
        <f t="shared" si="1"/>
        <v>ELIGIBLE</v>
      </c>
      <c r="H6" s="1">
        <f t="shared" si="6"/>
        <v>0.1</v>
      </c>
      <c r="I6" s="1">
        <f t="shared" si="2"/>
        <v>22</v>
      </c>
      <c r="J6" s="1" t="str">
        <f t="shared" si="3"/>
        <v>Excellent</v>
      </c>
      <c r="K6" s="1" t="str">
        <f t="shared" si="4"/>
        <v>HIGH</v>
      </c>
      <c r="L6" s="1" t="str">
        <f t="shared" si="5"/>
        <v>$500</v>
      </c>
      <c r="M6" s="1" t="str">
        <f>IF(C6&gt;=PERCENTILE(C2:C7,0.75),"YES","NO")</f>
        <v>YES</v>
      </c>
    </row>
    <row r="7" spans="1:13" x14ac:dyDescent="0.25">
      <c r="A7" s="1">
        <v>106</v>
      </c>
      <c r="B7" s="1" t="s">
        <v>22</v>
      </c>
      <c r="C7" s="1">
        <v>130</v>
      </c>
      <c r="D7" s="1">
        <v>160</v>
      </c>
      <c r="E7" s="1" t="s">
        <v>16</v>
      </c>
      <c r="F7" s="1" t="str">
        <f>IF(C7&gt;=D7,"YES","NO")</f>
        <v>NO</v>
      </c>
      <c r="G7" s="1" t="str">
        <f t="shared" si="1"/>
        <v>NOT ELIGIBLE</v>
      </c>
      <c r="H7" s="1">
        <f t="shared" si="6"/>
        <v>0.05</v>
      </c>
      <c r="I7" s="1">
        <f t="shared" si="2"/>
        <v>6.5</v>
      </c>
      <c r="J7" s="1" t="str">
        <f t="shared" si="3"/>
        <v>Need Improvement</v>
      </c>
      <c r="K7" s="1" t="str">
        <f t="shared" si="4"/>
        <v>MEDIUM</v>
      </c>
      <c r="L7" s="1" t="str">
        <f t="shared" si="5"/>
        <v>$300</v>
      </c>
      <c r="M7" s="1" t="str">
        <f>IF(C7&gt;=PERCENTILE(C2:C7,0.75),"YES","NO")</f>
        <v>NO</v>
      </c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10" spans="1:13" x14ac:dyDescent="0.25">
      <c r="A10" s="3" t="s">
        <v>26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3" t="s">
        <v>23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3" t="s">
        <v>24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3" t="s">
        <v>25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7.100000000000001" customHeight="1" x14ac:dyDescent="0.25">
      <c r="A14" s="4" t="s">
        <v>30</v>
      </c>
      <c r="B14" s="4"/>
      <c r="C14" s="4"/>
      <c r="D14" s="4"/>
      <c r="E14" s="4"/>
      <c r="F14" s="4"/>
      <c r="G14" s="4"/>
      <c r="H14" s="4"/>
      <c r="I14" s="4"/>
      <c r="J14" s="4"/>
      <c r="K14" s="3"/>
      <c r="L14" s="3"/>
      <c r="M14" s="3"/>
    </row>
    <row r="15" spans="1:13" ht="16.5" customHeight="1" x14ac:dyDescent="0.25">
      <c r="A15" s="5" t="s">
        <v>29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25">
      <c r="A16" s="3" t="s">
        <v>27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3" t="s">
        <v>28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</sheetData>
  <mergeCells count="2">
    <mergeCell ref="A15:M15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VINIT SALUNKHE</cp:lastModifiedBy>
  <dcterms:created xsi:type="dcterms:W3CDTF">2026-05-20T11:39:18Z</dcterms:created>
  <dcterms:modified xsi:type="dcterms:W3CDTF">2026-05-21T07:20:51Z</dcterms:modified>
</cp:coreProperties>
</file>